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w Sales Data" sheetId="1" state="visible" r:id="rId3"/>
    <sheet name="Analysis" sheetId="2" state="visible" r:id="rId4"/>
    <sheet name="Key Insights" sheetId="3" state="visible" r:id="rId5"/>
    <sheet name="README" sheetId="4" state="visible" r:id="rId6"/>
  </sheets>
  <definedNames>
    <definedName function="false" hidden="true" localSheetId="0" name="_xlnm._FilterDatabase" vbProcedure="false">'Raw Sales Data'!$A$1:$G$32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<sst xmlns="http://schemas.openxmlformats.org/spreadsheetml/2006/main" count="177" uniqueCount="78">
  <si>
    <t xml:space="preserve">Date</t>
  </si>
  <si>
    <t xml:space="preserve">Drug Name</t>
  </si>
  <si>
    <t xml:space="preserve">Category</t>
  </si>
  <si>
    <t xml:space="preserve">Quantity</t>
  </si>
  <si>
    <t xml:space="preserve">Price per Unit (INR)</t>
  </si>
  <si>
    <t xml:space="preserve">Sales (INR)</t>
  </si>
  <si>
    <t xml:space="preserve">Brand Type</t>
  </si>
  <si>
    <t xml:space="preserve">Paracetamol</t>
  </si>
  <si>
    <t xml:space="preserve">Analgesic</t>
  </si>
  <si>
    <t xml:space="preserve">Generic</t>
  </si>
  <si>
    <t xml:space="preserve">Amoxicillin</t>
  </si>
  <si>
    <t xml:space="preserve">Antibiotic</t>
  </si>
  <si>
    <t xml:space="preserve">Ibuprofen</t>
  </si>
  <si>
    <t xml:space="preserve">Cetirizine</t>
  </si>
  <si>
    <t xml:space="preserve">Antihistamine</t>
  </si>
  <si>
    <t xml:space="preserve">Azithromycin</t>
  </si>
  <si>
    <t xml:space="preserve">Branded</t>
  </si>
  <si>
    <t xml:space="preserve">PHARMACY SALES &amp; DRUG ANALYSIS</t>
  </si>
  <si>
    <t xml:space="preserve">Synthetic educational dataset | Jan–Jun 2026 | Currency: INR</t>
  </si>
  <si>
    <t xml:space="preserve">Metric</t>
  </si>
  <si>
    <t xml:space="preserve">Result</t>
  </si>
  <si>
    <t xml:space="preserve">Total sales (INR)</t>
  </si>
  <si>
    <t xml:space="preserve">Total units sold</t>
  </si>
  <si>
    <t xml:space="preserve">Number of transactions</t>
  </si>
  <si>
    <t xml:space="preserve">Average sales per transaction</t>
  </si>
  <si>
    <t xml:space="preserve">Generic sales (INR)</t>
  </si>
  <si>
    <t xml:space="preserve">Branded sales (INR)</t>
  </si>
  <si>
    <t xml:space="preserve">Units Sold</t>
  </si>
  <si>
    <t xml:space="preserve">Total Sales (INR)</t>
  </si>
  <si>
    <t xml:space="preserve">Avg Price/Unit (INR)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</si>
  <si>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</si>
  <si>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</si>
  <si>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</si>
  <si>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</si>
  <si>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</si>
  <si>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</si>
  <si>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</si>
  <si>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Transactions</t>
  </si>
  <si>
    <t xml:space="preserve">QUICK INTERPRETATION</t>
  </si>
  <si>
    <t xml:space="preserve">Highest unit sales</t>
  </si>
  <si>
    <t xml:space="preserve">Highest drug revenue</t>
  </si>
  <si>
    <t xml:space="preserve">Highest-sales month</t>
  </si>
  <si>
    <t xml:space="preserve">Generic share of sales</t>
  </si>
  <si>
    <t xml:space="preserve">Branded share of sales</t>
  </si>
  <si>
    <t xml:space="preserve">Data note</t>
  </si>
  <si>
    <t xml:space="preserve">Synthetic practice data only; validate against real records before business decisions.</t>
  </si>
  <si>
    <t xml:space="preserve">KEY FINDINGS &amp; RECOMMENDATIONS</t>
  </si>
  <si>
    <t xml:space="preserve">Finding</t>
  </si>
  <si>
    <t xml:space="preserve">Interpretation / Action</t>
  </si>
  <si>
    <t xml:space="preserve">Top-selling medicine by units</t>
  </si>
  <si>
    <t xml:space="preserve">Paracetamol has the highest unit volume in this sample; maintain appropriate stock based on demand.</t>
  </si>
  <si>
    <t xml:space="preserve">Revenue pattern</t>
  </si>
  <si>
    <t xml:space="preserve">Compare monthly sales to identify growth and plan replenishment; verify trends against actual business records.</t>
  </si>
  <si>
    <t xml:space="preserve">Brand comparison</t>
  </si>
  <si>
    <t xml:space="preserve">Generic products account for most sample transactions; compare revenue and volume separately before making purchasing decisions.</t>
  </si>
  <si>
    <t xml:space="preserve">Antibiotic stewardship</t>
  </si>
  <si>
    <t xml:space="preserve">Amoxicillin and azithromycin are antibiotics. Sales data alone must not be used to infer appropriateness; follow prescription and antimicrobial-stewardship policies.</t>
  </si>
  <si>
    <t xml:space="preserve">Data quality</t>
  </si>
  <si>
    <t xml:space="preserve">Check for missing dates, duplicate transactions, invalid quantities, inconsistent drug names, and price outliers before reporting.</t>
  </si>
  <si>
    <t xml:space="preserve">Scope limitation</t>
  </si>
  <si>
    <t xml:space="preserve">All records are synthetic and created for practice; they are not real patient, prescription, or pharmacy records.</t>
  </si>
  <si>
    <t xml:space="preserve">TASK 3 | PHARMACY SALES &amp; DRUG ANALYSIS</t>
  </si>
  <si>
    <t xml:space="preserve">Project objective</t>
  </si>
  <si>
    <t xml:space="preserve">Analyze medicine usage trends and revenue patterns from pharmacy sales data.</t>
  </si>
  <si>
    <t xml:space="preserve">Tasks completed</t>
  </si>
  <si>
    <t xml:space="preserve">Clean/structure the raw data; calculate sales; summarize medicine usage; compare monthly growth and generic vs branded sales; add charts and key insights.</t>
  </si>
  <si>
    <t xml:space="preserve">Dataset period</t>
  </si>
  <si>
    <t xml:space="preserve">January–June 2026 (30 synthetic transaction rows).</t>
  </si>
  <si>
    <t xml:space="preserve">Formula used</t>
  </si>
  <si>
    <t xml:space="preserve">Sales (INR) = Quantity × Price per Unit.</t>
  </si>
  <si>
    <t xml:space="preserve">Tools</t>
  </si>
  <si>
    <t xml:space="preserve">Microsoft Excel: formulas, SUMIF, COUNTIF, AVERAGEIF, SUMPRODUCT, filters, formatted table, charts.</t>
  </si>
  <si>
    <t xml:space="preserve">How to use</t>
  </si>
  <si>
    <t xml:space="preserve">Open Raw Sales Data to inspect/filter transactions; Analysis for KPIs and charts; Key Insights for interpretation.</t>
  </si>
  <si>
    <t xml:space="preserve">Important</t>
  </si>
  <si>
    <t xml:space="preserve">Synthetic practice dataset only. Values are fictional and not medical advice or real commercial records.</t>
  </si>
  <si>
    <t xml:space="preserve">GitHub submission</t>
  </si>
  <si>
    <t xml:space="preserve">Upload this .xlsx file to your repository. Copy the repository file URL or repository URL and paste it into the Task 3 submission box.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</si>
</sst>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\₹#,##0.00"/>
    <numFmt numFmtId="167" formatCode="#,##0.00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1F1F1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83153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83153"/>
        <bgColor rgb="FF1F1F1F"/>
      </patternFill>
    </fill>
    <fill>
      <patternFill patternType="solid">
        <fgColor rgb="FF2F75B5"/>
        <bgColor rgb="FF4A7EBB"/>
      </patternFill>
    </fill>
    <fill>
      <patternFill patternType="solid">
        <fgColor rgb="FF00A6A6"/>
        <bgColor rgb="FF008080"/>
      </patternFill>
    </fill>
    <fill>
      <patternFill patternType="solid">
        <fgColor rgb="FF1F4E78"/>
        <bgColor rgb="FF183153"/>
      </patternFill>
    </fill>
    <fill>
      <patternFill patternType="solid">
        <fgColor rgb="FFD9EAF7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FC000"/>
      </bottom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8315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6A6"/>
      <rgbColor rgb="FFC0C0C0"/>
      <rgbColor rgb="FF878787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000"/>
      <rgbColor rgb="FFFF9900"/>
      <rgbColor rgb="FFFF6600"/>
      <rgbColor rgb="FF666666"/>
      <rgbColor rgb="FF4F81BD"/>
      <rgbColor rgb="FF183153"/>
      <rgbColor rgb="FF4A7EBB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Total Sales by Drug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Analysis!D13</c:f>
              <c:strCache>
                <c:ptCount val="1"/>
                <c:pt idx="0">
                  <c:v>Total Sales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Analysis!$A$14:$A$18</c:f>
              <c:strCache>
                <c:ptCount val="5"/>
                <c:pt idx="0">
                  <c:v>Paracetamol</c:v>
                </c:pt>
                <c:pt idx="1">
                  <c:v>Amoxicillin</c:v>
                </c:pt>
                <c:pt idx="2">
                  <c:v>Ibuprofen</c:v>
                </c:pt>
                <c:pt idx="3">
                  <c:v>Cetirizine</c:v>
                </c:pt>
                <c:pt idx="4">
                  <c:v>Azithromycin</c:v>
                </c:pt>
              </c:strCache>
            </c:strRef>
          </c:cat>
          <c:val>
            <c:numRef>
              <c:f>Analysis!$D$14:$D$18</c:f>
              <c:numCache>
                <c:formatCode>\₹#,##0.00</c:formatCode>
                <c:ptCount val="5"/>
                <c:pt idx="0">
                  <c:v>472.5</c:v>
                </c:pt>
                <c:pt idx="1">
                  <c:v>723.6</c:v>
                </c:pt>
                <c:pt idx="2">
                  <c:v>437.6</c:v>
                </c:pt>
                <c:pt idx="3">
                  <c:v>277.8</c:v>
                </c:pt>
                <c:pt idx="4">
                  <c:v>870</c:v>
                </c:pt>
              </c:numCache>
            </c:numRef>
          </c:val>
        </c:ser>
        <c:gapWidth val="150"/>
        <c:overlap val="0"/>
        <c:axId val="10337596"/>
        <c:axId val="8832887"/>
      </c:barChart>
      <c:catAx>
        <c:axId val="1033759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Sales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32887"/>
        <c:crosses val="autoZero"/>
        <c:auto val="1"/>
        <c:lblAlgn val="ctr"/>
        <c:lblOffset val="100"/>
        <c:noMultiLvlLbl val="0"/>
      </c:catAx>
      <c:valAx>
        <c:axId val="88328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Drug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3375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Analysis!C22</c:f>
              <c:strCache>
                <c:ptCount val="1"/>
                <c:pt idx="0">
                  <c:v>Sales (INR)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Analysis!$A$23:$A$28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Analysis!$C$23:$C$28</c:f>
              <c:numCache>
                <c:formatCode>\₹#,##0.00</c:formatCode>
                <c:ptCount val="6"/>
                <c:pt idx="0">
                  <c:v>364.5</c:v>
                </c:pt>
                <c:pt idx="1">
                  <c:v>406.9</c:v>
                </c:pt>
                <c:pt idx="2">
                  <c:v>443.8</c:v>
                </c:pt>
                <c:pt idx="3">
                  <c:v>481.7</c:v>
                </c:pt>
                <c:pt idx="4">
                  <c:v>519.7</c:v>
                </c:pt>
                <c:pt idx="5">
                  <c:v>564.9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899188"/>
        <c:axId val="84270462"/>
      </c:lineChart>
      <c:catAx>
        <c:axId val="938991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270462"/>
        <c:crosses val="autoZero"/>
        <c:auto val="1"/>
        <c:lblAlgn val="ctr"/>
        <c:lblOffset val="100"/>
        <c:noMultiLvlLbl val="0"/>
      </c:catAx>
      <c:valAx>
        <c:axId val="842704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Sales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8991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12</xdr:col>
      <xdr:colOff>494280</xdr:colOff>
      <xdr:row>15</xdr:row>
      <xdr:rowOff>174240</xdr:rowOff>
    </xdr:to>
    <xdr:graphicFrame>
      <xdr:nvGraphicFramePr>
        <xdr:cNvPr id="0" name="Chart 1"/>
        <xdr:cNvGraphicFramePr/>
      </xdr:nvGraphicFramePr>
      <xdr:xfrm>
        <a:off x="12757680" y="5716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130680</xdr:rowOff>
    </xdr:from>
    <xdr:to>
      <xdr:col>12</xdr:col>
      <xdr:colOff>494280</xdr:colOff>
      <xdr:row>30</xdr:row>
      <xdr:rowOff>173880</xdr:rowOff>
    </xdr:to>
    <xdr:graphicFrame>
      <xdr:nvGraphicFramePr>
        <xdr:cNvPr id="1" name="Chart 2"/>
        <xdr:cNvGraphicFramePr/>
      </xdr:nvGraphicFramePr>
      <xdr:xfrm>
        <a:off x="12757680" y="342900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harmacyRawData" displayName="PharmacyRawData" ref="A1:G32" headerRowCount="1" totalsRowCount="0" totalsRowShown="0">
  <autoFilter ref="A1:G32"/>
  <tableColumns count="7">
    <tableColumn id="1" name="Date"/>
    <tableColumn id="2" name="Drug Name"/>
    <tableColumn id="3" name="Category"/>
    <tableColumn id="4" name="Quantity"/>
    <tableColumn id="5" name="Price per Unit (INR)"/>
    <tableColumn id="6" name="Sales (INR)"/>
    <tableColumn id="7" name="Brand Typ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/>
      <c r="B2" s="3"/>
      <c r="C2" s="3"/>
      <c r="D2" s="4"/>
      <c r="E2" s="5"/>
      <c r="F2" s="5" t="n">
        <f aca="false">D2*E2</f>
        <v>0</v>
      </c>
      <c r="G2" s="4"/>
    </row>
    <row r="3" customFormat="false" ht="15" hidden="false" customHeight="false" outlineLevel="0" collapsed="false">
      <c r="A3" s="2" t="n">
        <v>46027</v>
      </c>
      <c r="B3" s="3" t="s">
        <v>7</v>
      </c>
      <c r="C3" s="3" t="s">
        <v>8</v>
      </c>
      <c r="D3" s="4" t="n">
        <v>120</v>
      </c>
      <c r="E3" s="5" t="n">
        <v>0.5</v>
      </c>
      <c r="F3" s="5" t="n">
        <f aca="false">D3*E3</f>
        <v>60</v>
      </c>
      <c r="G3" s="4" t="s">
        <v>9</v>
      </c>
    </row>
    <row r="4" customFormat="false" ht="15" hidden="false" customHeight="false" outlineLevel="0" collapsed="false">
      <c r="A4" s="2" t="n">
        <v>46030</v>
      </c>
      <c r="B4" s="3" t="s">
        <v>10</v>
      </c>
      <c r="C4" s="3" t="s">
        <v>11</v>
      </c>
      <c r="D4" s="4" t="n">
        <v>80</v>
      </c>
      <c r="E4" s="5" t="n">
        <v>1.2</v>
      </c>
      <c r="F4" s="5" t="n">
        <f aca="false">D4*E4</f>
        <v>96</v>
      </c>
      <c r="G4" s="4" t="s">
        <v>9</v>
      </c>
    </row>
    <row r="5" customFormat="false" ht="15" hidden="false" customHeight="false" outlineLevel="0" collapsed="false">
      <c r="A5" s="2" t="n">
        <v>46034</v>
      </c>
      <c r="B5" s="3" t="s">
        <v>12</v>
      </c>
      <c r="C5" s="3" t="s">
        <v>8</v>
      </c>
      <c r="D5" s="4" t="n">
        <v>75</v>
      </c>
      <c r="E5" s="5" t="n">
        <v>0.8</v>
      </c>
      <c r="F5" s="5" t="n">
        <f aca="false">D5*E5</f>
        <v>60</v>
      </c>
      <c r="G5" s="4" t="s">
        <v>9</v>
      </c>
    </row>
    <row r="6" customFormat="false" ht="15" hidden="false" customHeight="false" outlineLevel="0" collapsed="false">
      <c r="A6" s="2" t="n">
        <v>46040</v>
      </c>
      <c r="B6" s="3" t="s">
        <v>13</v>
      </c>
      <c r="C6" s="3" t="s">
        <v>14</v>
      </c>
      <c r="D6" s="4" t="n">
        <v>60</v>
      </c>
      <c r="E6" s="5" t="n">
        <v>0.6</v>
      </c>
      <c r="F6" s="5" t="n">
        <f aca="false">D6*E6</f>
        <v>36</v>
      </c>
      <c r="G6" s="4" t="s">
        <v>9</v>
      </c>
    </row>
    <row r="7" customFormat="false" ht="15" hidden="false" customHeight="false" outlineLevel="0" collapsed="false">
      <c r="A7" s="2" t="n">
        <v>46047</v>
      </c>
      <c r="B7" s="3" t="s">
        <v>15</v>
      </c>
      <c r="C7" s="3" t="s">
        <v>11</v>
      </c>
      <c r="D7" s="4" t="n">
        <v>45</v>
      </c>
      <c r="E7" s="5" t="n">
        <v>2.5</v>
      </c>
      <c r="F7" s="5" t="n">
        <f aca="false">D7*E7</f>
        <v>112.5</v>
      </c>
      <c r="G7" s="4" t="s">
        <v>16</v>
      </c>
    </row>
    <row r="8" customFormat="false" ht="15" hidden="false" customHeight="false" outlineLevel="0" collapsed="false">
      <c r="A8" s="2" t="n">
        <v>46057</v>
      </c>
      <c r="B8" s="3" t="s">
        <v>7</v>
      </c>
      <c r="C8" s="3" t="s">
        <v>8</v>
      </c>
      <c r="D8" s="4" t="n">
        <v>135</v>
      </c>
      <c r="E8" s="5" t="n">
        <v>0.5</v>
      </c>
      <c r="F8" s="5" t="n">
        <f aca="false">D8*E8</f>
        <v>67.5</v>
      </c>
      <c r="G8" s="4" t="s">
        <v>9</v>
      </c>
    </row>
    <row r="9" customFormat="false" ht="15" hidden="false" customHeight="false" outlineLevel="0" collapsed="false">
      <c r="A9" s="2" t="n">
        <v>46062</v>
      </c>
      <c r="B9" s="3" t="s">
        <v>10</v>
      </c>
      <c r="C9" s="3" t="s">
        <v>11</v>
      </c>
      <c r="D9" s="4" t="n">
        <v>90</v>
      </c>
      <c r="E9" s="5" t="n">
        <v>1.2</v>
      </c>
      <c r="F9" s="5" t="n">
        <f aca="false">D9*E9</f>
        <v>108</v>
      </c>
      <c r="G9" s="4" t="s">
        <v>9</v>
      </c>
    </row>
    <row r="10" customFormat="false" ht="15" hidden="false" customHeight="false" outlineLevel="0" collapsed="false">
      <c r="A10" s="2" t="n">
        <v>46067</v>
      </c>
      <c r="B10" s="3" t="s">
        <v>12</v>
      </c>
      <c r="C10" s="3" t="s">
        <v>8</v>
      </c>
      <c r="D10" s="4" t="n">
        <v>82</v>
      </c>
      <c r="E10" s="5" t="n">
        <v>0.8</v>
      </c>
      <c r="F10" s="5" t="n">
        <f aca="false">D10*E10</f>
        <v>65.6</v>
      </c>
      <c r="G10" s="4" t="s">
        <v>9</v>
      </c>
    </row>
    <row r="11" customFormat="false" ht="15" hidden="false" customHeight="false" outlineLevel="0" collapsed="false">
      <c r="A11" s="2" t="n">
        <v>46072</v>
      </c>
      <c r="B11" s="3" t="s">
        <v>13</v>
      </c>
      <c r="C11" s="3" t="s">
        <v>14</v>
      </c>
      <c r="D11" s="4" t="n">
        <v>68</v>
      </c>
      <c r="E11" s="5" t="n">
        <v>0.6</v>
      </c>
      <c r="F11" s="5" t="n">
        <f aca="false">D11*E11</f>
        <v>40.8</v>
      </c>
      <c r="G11" s="4" t="s">
        <v>9</v>
      </c>
    </row>
    <row r="12" customFormat="false" ht="15" hidden="false" customHeight="false" outlineLevel="0" collapsed="false">
      <c r="A12" s="2" t="n">
        <v>46079</v>
      </c>
      <c r="B12" s="3" t="s">
        <v>15</v>
      </c>
      <c r="C12" s="3" t="s">
        <v>11</v>
      </c>
      <c r="D12" s="4" t="n">
        <v>50</v>
      </c>
      <c r="E12" s="5" t="n">
        <v>2.5</v>
      </c>
      <c r="F12" s="5" t="n">
        <f aca="false">D12*E12</f>
        <v>125</v>
      </c>
      <c r="G12" s="4" t="s">
        <v>16</v>
      </c>
    </row>
    <row r="13" customFormat="false" ht="15" hidden="false" customHeight="false" outlineLevel="0" collapsed="false">
      <c r="A13" s="2" t="n">
        <v>46084</v>
      </c>
      <c r="B13" s="3" t="s">
        <v>7</v>
      </c>
      <c r="C13" s="3" t="s">
        <v>8</v>
      </c>
      <c r="D13" s="4" t="n">
        <v>150</v>
      </c>
      <c r="E13" s="5" t="n">
        <v>0.5</v>
      </c>
      <c r="F13" s="5" t="n">
        <f aca="false">D13*E13</f>
        <v>75</v>
      </c>
      <c r="G13" s="4" t="s">
        <v>9</v>
      </c>
    </row>
    <row r="14" customFormat="false" ht="15" hidden="false" customHeight="false" outlineLevel="0" collapsed="false">
      <c r="A14" s="2" t="n">
        <v>46088</v>
      </c>
      <c r="B14" s="3" t="s">
        <v>10</v>
      </c>
      <c r="C14" s="3" t="s">
        <v>11</v>
      </c>
      <c r="D14" s="4" t="n">
        <v>96</v>
      </c>
      <c r="E14" s="5" t="n">
        <v>1.2</v>
      </c>
      <c r="F14" s="5" t="n">
        <f aca="false">D14*E14</f>
        <v>115.2</v>
      </c>
      <c r="G14" s="4" t="s">
        <v>9</v>
      </c>
    </row>
    <row r="15" customFormat="false" ht="15" hidden="false" customHeight="false" outlineLevel="0" collapsed="false">
      <c r="A15" s="2" t="n">
        <v>46094</v>
      </c>
      <c r="B15" s="3" t="s">
        <v>12</v>
      </c>
      <c r="C15" s="3" t="s">
        <v>8</v>
      </c>
      <c r="D15" s="4" t="n">
        <v>88</v>
      </c>
      <c r="E15" s="5" t="n">
        <v>0.8</v>
      </c>
      <c r="F15" s="5" t="n">
        <f aca="false">D15*E15</f>
        <v>70.4</v>
      </c>
      <c r="G15" s="4" t="s">
        <v>9</v>
      </c>
    </row>
    <row r="16" customFormat="false" ht="15" hidden="false" customHeight="false" outlineLevel="0" collapsed="false">
      <c r="A16" s="2" t="n">
        <v>46101</v>
      </c>
      <c r="B16" s="3" t="s">
        <v>13</v>
      </c>
      <c r="C16" s="3" t="s">
        <v>14</v>
      </c>
      <c r="D16" s="4" t="n">
        <v>72</v>
      </c>
      <c r="E16" s="5" t="n">
        <v>0.6</v>
      </c>
      <c r="F16" s="5" t="n">
        <f aca="false">D16*E16</f>
        <v>43.2</v>
      </c>
      <c r="G16" s="4" t="s">
        <v>9</v>
      </c>
    </row>
    <row r="17" customFormat="false" ht="15" hidden="false" customHeight="false" outlineLevel="0" collapsed="false">
      <c r="A17" s="2" t="n">
        <v>46108</v>
      </c>
      <c r="B17" s="3" t="s">
        <v>15</v>
      </c>
      <c r="C17" s="3" t="s">
        <v>11</v>
      </c>
      <c r="D17" s="4" t="n">
        <v>56</v>
      </c>
      <c r="E17" s="5" t="n">
        <v>2.5</v>
      </c>
      <c r="F17" s="5" t="n">
        <f aca="false">D17*E17</f>
        <v>140</v>
      </c>
      <c r="G17" s="4" t="s">
        <v>16</v>
      </c>
    </row>
    <row r="18" customFormat="false" ht="15" hidden="false" customHeight="false" outlineLevel="0" collapsed="false">
      <c r="A18" s="2" t="n">
        <v>46114</v>
      </c>
      <c r="B18" s="3" t="s">
        <v>7</v>
      </c>
      <c r="C18" s="3" t="s">
        <v>8</v>
      </c>
      <c r="D18" s="4" t="n">
        <v>165</v>
      </c>
      <c r="E18" s="5" t="n">
        <v>0.5</v>
      </c>
      <c r="F18" s="5" t="n">
        <f aca="false">D18*E18</f>
        <v>82.5</v>
      </c>
      <c r="G18" s="4" t="s">
        <v>9</v>
      </c>
    </row>
    <row r="19" customFormat="false" ht="15" hidden="false" customHeight="false" outlineLevel="0" collapsed="false">
      <c r="A19" s="2" t="n">
        <v>46118</v>
      </c>
      <c r="B19" s="3" t="s">
        <v>10</v>
      </c>
      <c r="C19" s="3" t="s">
        <v>11</v>
      </c>
      <c r="D19" s="4" t="n">
        <v>105</v>
      </c>
      <c r="E19" s="5" t="n">
        <v>1.2</v>
      </c>
      <c r="F19" s="5" t="n">
        <f aca="false">D19*E19</f>
        <v>126</v>
      </c>
      <c r="G19" s="4" t="s">
        <v>9</v>
      </c>
    </row>
    <row r="20" customFormat="false" ht="15" hidden="false" customHeight="false" outlineLevel="0" collapsed="false">
      <c r="A20" s="2" t="n">
        <v>46123</v>
      </c>
      <c r="B20" s="3" t="s">
        <v>12</v>
      </c>
      <c r="C20" s="3" t="s">
        <v>8</v>
      </c>
      <c r="D20" s="4" t="n">
        <v>94</v>
      </c>
      <c r="E20" s="5" t="n">
        <v>0.8</v>
      </c>
      <c r="F20" s="5" t="n">
        <f aca="false">D20*E20</f>
        <v>75.2</v>
      </c>
      <c r="G20" s="4" t="s">
        <v>9</v>
      </c>
    </row>
    <row r="21" customFormat="false" ht="15" hidden="false" customHeight="false" outlineLevel="0" collapsed="false">
      <c r="A21" s="2" t="n">
        <v>46129</v>
      </c>
      <c r="B21" s="3" t="s">
        <v>13</v>
      </c>
      <c r="C21" s="3" t="s">
        <v>14</v>
      </c>
      <c r="D21" s="4" t="n">
        <v>80</v>
      </c>
      <c r="E21" s="5" t="n">
        <v>0.6</v>
      </c>
      <c r="F21" s="5" t="n">
        <f aca="false">D21*E21</f>
        <v>48</v>
      </c>
      <c r="G21" s="4" t="s">
        <v>9</v>
      </c>
    </row>
    <row r="22" customFormat="false" ht="15" hidden="false" customHeight="false" outlineLevel="0" collapsed="false">
      <c r="A22" s="2" t="n">
        <v>46136</v>
      </c>
      <c r="B22" s="3" t="s">
        <v>15</v>
      </c>
      <c r="C22" s="3" t="s">
        <v>11</v>
      </c>
      <c r="D22" s="4" t="n">
        <v>60</v>
      </c>
      <c r="E22" s="5" t="n">
        <v>2.5</v>
      </c>
      <c r="F22" s="5" t="n">
        <f aca="false">D22*E22</f>
        <v>150</v>
      </c>
      <c r="G22" s="4" t="s">
        <v>16</v>
      </c>
    </row>
    <row r="23" customFormat="false" ht="15" hidden="false" customHeight="false" outlineLevel="0" collapsed="false">
      <c r="A23" s="2" t="n">
        <v>46143</v>
      </c>
      <c r="B23" s="3" t="s">
        <v>7</v>
      </c>
      <c r="C23" s="3" t="s">
        <v>8</v>
      </c>
      <c r="D23" s="4" t="n">
        <v>180</v>
      </c>
      <c r="E23" s="5" t="n">
        <v>0.5</v>
      </c>
      <c r="F23" s="5" t="n">
        <f aca="false">D23*E23</f>
        <v>90</v>
      </c>
      <c r="G23" s="4" t="s">
        <v>9</v>
      </c>
    </row>
    <row r="24" customFormat="false" ht="15" hidden="false" customHeight="false" outlineLevel="0" collapsed="false">
      <c r="A24" s="2" t="n">
        <v>46148</v>
      </c>
      <c r="B24" s="3" t="s">
        <v>10</v>
      </c>
      <c r="C24" s="3" t="s">
        <v>11</v>
      </c>
      <c r="D24" s="4" t="n">
        <v>112</v>
      </c>
      <c r="E24" s="5" t="n">
        <v>1.2</v>
      </c>
      <c r="F24" s="5" t="n">
        <f aca="false">D24*E24</f>
        <v>134.4</v>
      </c>
      <c r="G24" s="4" t="s">
        <v>9</v>
      </c>
    </row>
    <row r="25" customFormat="false" ht="15" hidden="false" customHeight="false" outlineLevel="0" collapsed="false">
      <c r="A25" s="2" t="n">
        <v>46154</v>
      </c>
      <c r="B25" s="3" t="s">
        <v>12</v>
      </c>
      <c r="C25" s="3" t="s">
        <v>8</v>
      </c>
      <c r="D25" s="4" t="n">
        <v>100</v>
      </c>
      <c r="E25" s="5" t="n">
        <v>0.8</v>
      </c>
      <c r="F25" s="5" t="n">
        <f aca="false">D25*E25</f>
        <v>80</v>
      </c>
      <c r="G25" s="4" t="s">
        <v>9</v>
      </c>
    </row>
    <row r="26" customFormat="false" ht="15" hidden="false" customHeight="false" outlineLevel="0" collapsed="false">
      <c r="A26" s="2" t="n">
        <v>46160</v>
      </c>
      <c r="B26" s="3" t="s">
        <v>13</v>
      </c>
      <c r="C26" s="3" t="s">
        <v>14</v>
      </c>
      <c r="D26" s="4" t="n">
        <v>88</v>
      </c>
      <c r="E26" s="5" t="n">
        <v>0.6</v>
      </c>
      <c r="F26" s="5" t="n">
        <f aca="false">D26*E26</f>
        <v>52.8</v>
      </c>
      <c r="G26" s="4" t="s">
        <v>9</v>
      </c>
    </row>
    <row r="27" customFormat="false" ht="15" hidden="false" customHeight="false" outlineLevel="0" collapsed="false">
      <c r="A27" s="2" t="n">
        <v>46167</v>
      </c>
      <c r="B27" s="3" t="s">
        <v>15</v>
      </c>
      <c r="C27" s="3" t="s">
        <v>11</v>
      </c>
      <c r="D27" s="4" t="n">
        <v>65</v>
      </c>
      <c r="E27" s="5" t="n">
        <v>2.5</v>
      </c>
      <c r="F27" s="5" t="n">
        <f aca="false">D27*E27</f>
        <v>162.5</v>
      </c>
      <c r="G27" s="4" t="s">
        <v>16</v>
      </c>
    </row>
    <row r="28" customFormat="false" ht="15" hidden="false" customHeight="false" outlineLevel="0" collapsed="false">
      <c r="A28" s="2" t="n">
        <v>46175</v>
      </c>
      <c r="B28" s="3" t="s">
        <v>7</v>
      </c>
      <c r="C28" s="3" t="s">
        <v>8</v>
      </c>
      <c r="D28" s="4" t="n">
        <v>195</v>
      </c>
      <c r="E28" s="5" t="n">
        <v>0.5</v>
      </c>
      <c r="F28" s="5" t="n">
        <f aca="false">D28*E28</f>
        <v>97.5</v>
      </c>
      <c r="G28" s="4" t="s">
        <v>9</v>
      </c>
    </row>
    <row r="29" customFormat="false" ht="15" hidden="false" customHeight="false" outlineLevel="0" collapsed="false">
      <c r="A29" s="2" t="n">
        <v>46180</v>
      </c>
      <c r="B29" s="3" t="s">
        <v>10</v>
      </c>
      <c r="C29" s="3" t="s">
        <v>11</v>
      </c>
      <c r="D29" s="4" t="n">
        <v>120</v>
      </c>
      <c r="E29" s="5" t="n">
        <v>1.2</v>
      </c>
      <c r="F29" s="5" t="n">
        <f aca="false">D29*E29</f>
        <v>144</v>
      </c>
      <c r="G29" s="4" t="s">
        <v>9</v>
      </c>
    </row>
    <row r="30" customFormat="false" ht="15" hidden="false" customHeight="false" outlineLevel="0" collapsed="false">
      <c r="A30" s="2" t="n">
        <v>46186</v>
      </c>
      <c r="B30" s="3" t="s">
        <v>12</v>
      </c>
      <c r="C30" s="3" t="s">
        <v>8</v>
      </c>
      <c r="D30" s="4" t="n">
        <v>108</v>
      </c>
      <c r="E30" s="5" t="n">
        <v>0.8</v>
      </c>
      <c r="F30" s="5" t="n">
        <f aca="false">D30*E30</f>
        <v>86.4</v>
      </c>
      <c r="G30" s="4" t="s">
        <v>9</v>
      </c>
    </row>
    <row r="31" customFormat="false" ht="15" hidden="false" customHeight="false" outlineLevel="0" collapsed="false">
      <c r="A31" s="2" t="n">
        <v>46193</v>
      </c>
      <c r="B31" s="3" t="s">
        <v>13</v>
      </c>
      <c r="C31" s="3" t="s">
        <v>14</v>
      </c>
      <c r="D31" s="4" t="n">
        <v>95</v>
      </c>
      <c r="E31" s="5" t="n">
        <v>0.6</v>
      </c>
      <c r="F31" s="5" t="n">
        <f aca="false">D31*E31</f>
        <v>57</v>
      </c>
      <c r="G31" s="4" t="s">
        <v>9</v>
      </c>
    </row>
    <row r="32" customFormat="false" ht="15" hidden="false" customHeight="false" outlineLevel="0" collapsed="false">
      <c r="A32" s="2" t="n">
        <v>46199</v>
      </c>
      <c r="B32" s="3" t="s">
        <v>15</v>
      </c>
      <c r="C32" s="3" t="s">
        <v>11</v>
      </c>
      <c r="D32" s="4" t="n">
        <v>72</v>
      </c>
      <c r="E32" s="5" t="n">
        <v>2.5</v>
      </c>
      <c r="F32" s="5" t="n">
        <f aca="false">D32*E32</f>
        <v>180</v>
      </c>
      <c r="G32" s="4" t="s">
        <v>16</v>
      </c>
    </row>
  </sheetData>
  <autoFilter ref="A1:G3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72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5" min="5" style="0" width="23"/>
    <col collapsed="false" customWidth="true" hidden="false" outlineLevel="0" max="7" min="6" style="0" width="16"/>
  </cols>
  <sheetData>
    <row r="1" customFormat="false" ht="19.7" hidden="false" customHeight="false" outlineLevel="0" collapsed="false">
      <c r="A1" s="6" t="s">
        <v>17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7" t="s">
        <v>18</v>
      </c>
      <c r="B2" s="7"/>
      <c r="C2" s="7"/>
      <c r="D2" s="7"/>
      <c r="E2" s="7"/>
      <c r="F2" s="7"/>
    </row>
    <row r="4" customFormat="false" ht="15" hidden="false" customHeight="false" outlineLevel="0" collapsed="false">
      <c r="A4" s="8" t="s">
        <v>19</v>
      </c>
      <c r="B4" s="8" t="s">
        <v>20</v>
      </c>
    </row>
    <row r="5" customFormat="false" ht="15" hidden="false" customHeight="false" outlineLevel="0" collapsed="false">
      <c r="A5" s="3" t="s">
        <v>21</v>
      </c>
      <c r="B5" s="5" t="n">
        <f aca="false">SUM('Raw Sales Data'!F2:F32)</f>
        <v>2781.5</v>
      </c>
    </row>
    <row r="6" customFormat="false" ht="15" hidden="false" customHeight="false" outlineLevel="0" collapsed="false">
      <c r="A6" s="3" t="s">
        <v>22</v>
      </c>
      <c r="B6" s="9" t="n">
        <f aca="false">SUM('Raw Sales Data'!D2:D32)</f>
        <v>2906</v>
      </c>
    </row>
    <row r="7" customFormat="false" ht="15" hidden="false" customHeight="false" outlineLevel="0" collapsed="false">
      <c r="A7" s="3" t="s">
        <v>23</v>
      </c>
      <c r="B7" s="9" t="n">
        <f aca="false">COUNTA('Raw Sales Data'!A2:A32)</f>
        <v>30</v>
      </c>
    </row>
    <row r="8" customFormat="false" ht="15" hidden="false" customHeight="false" outlineLevel="0" collapsed="false">
      <c r="A8" s="3" t="s">
        <v>24</v>
      </c>
      <c r="B8" s="5" t="n">
        <f aca="false">AVERAGE('Raw Sales Data'!F2:F32)</f>
        <v>89.7258064516129</v>
      </c>
    </row>
    <row r="9" customFormat="false" ht="15" hidden="false" customHeight="false" outlineLevel="0" collapsed="false">
      <c r="A9" s="3" t="s">
        <v>25</v>
      </c>
      <c r="B9" s="5" t="n">
        <f aca="false">SUMIF('Raw Sales Data'!G2:G32,"Generic",'Raw Sales Data'!F2:F32)</f>
        <v>1911.5</v>
      </c>
    </row>
    <row r="10" customFormat="false" ht="15" hidden="false" customHeight="false" outlineLevel="0" collapsed="false">
      <c r="A10" s="3" t="s">
        <v>26</v>
      </c>
      <c r="B10" s="9" t="n">
        <f aca="false">SUMIF('Raw Sales Data'!G2:G32,"Branded",'Raw Sales Data'!F2:F32)</f>
        <v>870</v>
      </c>
    </row>
    <row r="13" customFormat="false" ht="15" hidden="false" customHeight="false" outlineLevel="0" collapsed="false">
      <c r="A13" s="10" t="s">
        <v>1</v>
      </c>
      <c r="B13" s="10" t="s">
        <v>2</v>
      </c>
      <c r="C13" s="10" t="s">
        <v>27</v>
      </c>
      <c r="D13" s="10" t="s">
        <v>28</v>
      </c>
      <c r="E13" s="10" t="s">
        <v>29</v>
      </c>
    </row>
    <row r="14" customFormat="false" ht="15" hidden="false" customHeight="false" outlineLevel="0" collapsed="false">
      <c r="A14" s="3" t="s">
        <v>7</v>
      </c>
      <c r="B14" s="3" t="s">
        <v>8</v>
      </c>
      <c r="C14" s="3" t="n">
        <f aca="false">SUMIF('Raw Sales Data'!B$2:B$32,A14,'Raw Sales Data'!D$2:D$32)</f>
        <v>945</v>
      </c>
      <c r="D14" s="5" t="n">
        <f aca="false">SUMIF('Raw Sales Data'!B$2:B$32,A14,'Raw Sales Data'!F$2:F$32)</f>
        <v>472.5</v>
      </c>
      <c r="E14" s="5" t="n">
        <f aca="false">AVERAGEIF('Raw Sales Data'!B$2:B$32,A14,'Raw Sales Data'!E$2:E$32)</f>
        <v>0.5</v>
      </c>
    </row>
    <row r="15" customFormat="false" ht="15" hidden="false" customHeight="false" outlineLevel="0" collapsed="false">
      <c r="A15" s="3" t="s">
        <v>10</v>
      </c>
      <c r="B15" s="3" t="s">
        <v>11</v>
      </c>
      <c r="C15" s="3" t="n">
        <f aca="false">SUMIF('Raw Sales Data'!B$2:B$32,A15,'Raw Sales Data'!D$2:D$32)</f>
        <v>603</v>
      </c>
      <c r="D15" s="5" t="n">
        <f aca="false">SUMIF('Raw Sales Data'!B$2:B$32,A15,'Raw Sales Data'!F$2:F$32)</f>
        <v>723.6</v>
      </c>
      <c r="E15" s="5" t="n">
        <f aca="false">AVERAGEIF('Raw Sales Data'!B$2:B$32,A15,'Raw Sales Data'!E$2:E$32)</f>
        <v>1.2</v>
      </c>
    </row>
    <row r="16" customFormat="false" ht="15" hidden="false" customHeight="false" outlineLevel="0" collapsed="false">
      <c r="A16" s="3" t="s">
        <v>12</v>
      </c>
      <c r="B16" s="3" t="s">
        <v>8</v>
      </c>
      <c r="C16" s="3" t="n">
        <f aca="false">SUMIF('Raw Sales Data'!B$2:B$32,A16,'Raw Sales Data'!D$2:D$32)</f>
        <v>547</v>
      </c>
      <c r="D16" s="5" t="n">
        <f aca="false">SUMIF('Raw Sales Data'!B$2:B$32,A16,'Raw Sales Data'!F$2:F$32)</f>
        <v>437.6</v>
      </c>
      <c r="E16" s="5" t="n">
        <f aca="false">AVERAGEIF('Raw Sales Data'!B$2:B$32,A16,'Raw Sales Data'!E$2:E$32)</f>
        <v>0.8</v>
      </c>
    </row>
    <row r="17" customFormat="false" ht="15" hidden="false" customHeight="false" outlineLevel="0" collapsed="false">
      <c r="A17" s="3" t="s">
        <v>13</v>
      </c>
      <c r="B17" s="3" t="s">
        <v>14</v>
      </c>
      <c r="C17" s="3" t="n">
        <f aca="false">SUMIF('Raw Sales Data'!B$2:B$32,A17,'Raw Sales Data'!D$2:D$32)</f>
        <v>463</v>
      </c>
      <c r="D17" s="5" t="n">
        <f aca="false">SUMIF('Raw Sales Data'!B$2:B$32,A17,'Raw Sales Data'!F$2:F$32)</f>
        <v>277.8</v>
      </c>
      <c r="E17" s="5" t="n">
        <f aca="false">AVERAGEIF('Raw Sales Data'!B$2:B$32,A17,'Raw Sales Data'!E$2:E$32)</f>
        <v>0.6</v>
      </c>
    </row>
    <row r="18" customFormat="false" ht="15" hidden="false" customHeight="false" outlineLevel="0" collapsed="false">
      <c r="A18" s="3" t="s">
        <v>15</v>
      </c>
      <c r="B18" s="3" t="s">
        <v>11</v>
      </c>
      <c r="C18" s="3" t="n">
        <f aca="false">SUMIF('Raw Sales Data'!B$2:B$32,A18,'Raw Sales Data'!D$2:D$32)</f>
        <v>348</v>
      </c>
      <c r="D18" s="5" t="n">
        <f aca="false">SUMIF('Raw Sales Data'!B$2:B$32,A18,'Raw Sales Data'!F$2:F$32)</f>
        <v>870</v>
      </c>
      <c r="E18" s="5" t="n">
        <f aca="false">AVERAGEIF('Raw Sales Data'!B$2:B$32,A18,'Raw Sales Data'!E$2:E$32)</f>
        <v>2.5</v>
      </c>
    </row>
    <row r="22" customFormat="false" ht="15" hidden="false" customHeight="false" outlineLevel="0" collapsed="false">
      <c r="A22" s="8" t="s">
        <v>30</v>
      </c>
      <c r="B22" s="8" t="s">
        <v>27</v>
      </c>
      <c r="C22" s="8" t="s">
        <v>5</v>
      </c>
    </row>
    <row r="23" customFormat="false" ht="15" hidden="false" customHeight="false" outlineLevel="0" collapsed="false">
      <c r="A23" s="3" t="s">
        <v>31</v>
      </c>
      <c r="B23" s="3" t="n">
        <f aca="false">SUMPRODUCT((MONTH('Raw Sales Data'!$A$2:$A$32)=1)*('Raw Sales Data'!$D$2:$D$32))</f>
        <v>380</v>
      </c>
      <c r="C23" s="5" t="n">
        <f aca="false">SUMPRODUCT((MONTH('Raw Sales Data'!$A$2:$A$32)=1)*('Raw Sales Data'!$F$2:$F$32))</f>
        <v>364.5</v>
      </c>
    </row>
    <row r="24" customFormat="false" ht="15" hidden="false" customHeight="false" outlineLevel="0" collapsed="false">
      <c r="A24" s="3" t="s">
        <v>32</v>
      </c>
      <c r="B24" s="3" t="n">
        <f aca="false">SUMPRODUCT((MONTH('Raw Sales Data'!$A$2:$A$32)=2)*('Raw Sales Data'!$D$2:$D$32))</f>
        <v>425</v>
      </c>
      <c r="C24" s="5" t="n">
        <f aca="false">SUMPRODUCT((MONTH('Raw Sales Data'!$A$2:$A$32)=2)*('Raw Sales Data'!$F$2:$F$32))</f>
        <v>406.9</v>
      </c>
    </row>
    <row r="25" customFormat="false" ht="15" hidden="false" customHeight="false" outlineLevel="0" collapsed="false">
      <c r="A25" s="3" t="s">
        <v>33</v>
      </c>
      <c r="B25" s="3" t="n">
        <f aca="false">SUMPRODUCT((MONTH('Raw Sales Data'!$A$2:$A$32)=3)*('Raw Sales Data'!$D$2:$D$32))</f>
        <v>462</v>
      </c>
      <c r="C25" s="5" t="n">
        <f aca="false">SUMPRODUCT((MONTH('Raw Sales Data'!$A$2:$A$32)=3)*('Raw Sales Data'!$F$2:$F$32))</f>
        <v>443.8</v>
      </c>
    </row>
    <row r="26" customFormat="false" ht="15" hidden="false" customHeight="false" outlineLevel="0" collapsed="false">
      <c r="A26" s="3" t="s">
        <v>34</v>
      </c>
      <c r="B26" s="3" t="n">
        <f aca="false">SUMPRODUCT((MONTH('Raw Sales Data'!$A$2:$A$32)=4)*('Raw Sales Data'!$D$2:$D$32))</f>
        <v>504</v>
      </c>
      <c r="C26" s="5" t="n">
        <f aca="false">SUMPRODUCT((MONTH('Raw Sales Data'!$A$2:$A$32)=4)*('Raw Sales Data'!$F$2:$F$32))</f>
        <v>481.7</v>
      </c>
    </row>
    <row r="27" customFormat="false" ht="15" hidden="false" customHeight="false" outlineLevel="0" collapsed="false">
      <c r="A27" s="3" t="s">
        <v>35</v>
      </c>
      <c r="B27" s="3" t="n">
        <f aca="false">SUMPRODUCT((MONTH('Raw Sales Data'!$A$2:$A$32)=5)*('Raw Sales Data'!$D$2:$D$32))</f>
        <v>545</v>
      </c>
      <c r="C27" s="5" t="n">
        <f aca="false">SUMPRODUCT((MONTH('Raw Sales Data'!$A$2:$A$32)=5)*('Raw Sales Data'!$F$2:$F$32))</f>
        <v>519.7</v>
      </c>
    </row>
    <row r="28" customFormat="false" ht="15" hidden="false" customHeight="false" outlineLevel="0" collapsed="false">
      <c r="A28" s="3" t="s">
        <v>36</v>
      </c>
      <c r="B28" s="3" t="n">
        <f aca="false">SUMPRODUCT((MONTH('Raw Sales Data'!$A$2:$A$32)=6)*('Raw Sales Data'!$D$2:$D$32))</f>
        <v>590</v>
      </c>
      <c r="C28" s="5" t="n">
        <f aca="false">SUMPRODUCT((MONTH('Raw Sales Data'!$A$2:$A$32)=6)*('Raw Sales Data'!$F$2:$F$32))</f>
        <v>564.9</v>
      </c>
    </row>
    <row r="32" customFormat="false" ht="15" hidden="false" customHeight="false" outlineLevel="0" collapsed="false">
      <c r="A32" s="11" t="s">
        <v>6</v>
      </c>
      <c r="B32" s="11" t="s">
        <v>37</v>
      </c>
      <c r="C32" s="11" t="s">
        <v>27</v>
      </c>
      <c r="D32" s="11" t="s">
        <v>5</v>
      </c>
    </row>
    <row r="33" customFormat="false" ht="15" hidden="false" customHeight="false" outlineLevel="0" collapsed="false">
      <c r="A33" s="3" t="s">
        <v>9</v>
      </c>
      <c r="B33" s="3" t="n">
        <f aca="false">COUNTIF('Raw Sales Data'!G$2:G$32,A33)</f>
        <v>24</v>
      </c>
      <c r="C33" s="3" t="n">
        <f aca="false">SUMIF('Raw Sales Data'!G$2:G$32,A33,'Raw Sales Data'!D$2:D$32)</f>
        <v>2558</v>
      </c>
      <c r="D33" s="5" t="n">
        <f aca="false">SUMIF('Raw Sales Data'!G$2:G$32,A33,'Raw Sales Data'!F$2:F$32)</f>
        <v>1911.5</v>
      </c>
    </row>
    <row r="34" customFormat="false" ht="15" hidden="false" customHeight="false" outlineLevel="0" collapsed="false">
      <c r="A34" s="3" t="s">
        <v>16</v>
      </c>
      <c r="B34" s="3" t="n">
        <f aca="false">COUNTIF('Raw Sales Data'!G$2:G$32,A34)</f>
        <v>6</v>
      </c>
      <c r="C34" s="3" t="n">
        <f aca="false">SUMIF('Raw Sales Data'!G$2:G$32,A34,'Raw Sales Data'!D$2:D$32)</f>
        <v>348</v>
      </c>
      <c r="D34" s="5" t="n">
        <f aca="false">SUMIF('Raw Sales Data'!G$2:G$32,A34,'Raw Sales Data'!F$2:F$32)</f>
        <v>870</v>
      </c>
    </row>
    <row r="36" customFormat="false" ht="15" hidden="false" customHeight="false" outlineLevel="0" collapsed="false">
      <c r="A36" s="12" t="s">
        <v>38</v>
      </c>
      <c r="B36" s="12"/>
    </row>
    <row r="37" customFormat="false" ht="15" hidden="false" customHeight="false" outlineLevel="0" collapsed="false">
      <c r="A37" s="13" t="s">
        <v>39</v>
      </c>
      <c r="B37" s="14" t="str">
        <f aca="false">INDEX(A14:A18,MATCH(MAX(C14:C18),C14:C18,0))</f>
        <v>Paracetamol</v>
      </c>
    </row>
    <row r="38" customFormat="false" ht="15" hidden="false" customHeight="false" outlineLevel="0" collapsed="false">
      <c r="A38" s="13" t="s">
        <v>40</v>
      </c>
      <c r="B38" s="14" t="str">
        <f aca="false">INDEX(A14:A18,MATCH(MAX(D14:D18),D14:D18,0))</f>
        <v>Azithromycin</v>
      </c>
    </row>
    <row r="39" customFormat="false" ht="15" hidden="false" customHeight="false" outlineLevel="0" collapsed="false">
      <c r="A39" s="13" t="s">
        <v>41</v>
      </c>
      <c r="B39" s="14" t="str">
        <f aca="false">INDEX(A23:A28,MATCH(MAX(C23:C28),C23:C28,0))</f>
        <v>Jun</v>
      </c>
    </row>
    <row r="40" customFormat="false" ht="15" hidden="false" customHeight="false" outlineLevel="0" collapsed="false">
      <c r="A40" s="13" t="s">
        <v>42</v>
      </c>
      <c r="B40" s="15" t="n">
        <f aca="false">IFERROR(D33/SUM(D33:D34),0)</f>
        <v>0.687219126370663</v>
      </c>
    </row>
    <row r="41" customFormat="false" ht="15" hidden="false" customHeight="false" outlineLevel="0" collapsed="false">
      <c r="A41" s="13" t="s">
        <v>43</v>
      </c>
      <c r="B41" s="15" t="n">
        <f aca="false">IFERROR(D34/SUM(D33:D34),0)</f>
        <v>0.312780873629337</v>
      </c>
    </row>
    <row r="42" customFormat="false" ht="31.5" hidden="false" customHeight="true" outlineLevel="0" collapsed="false">
      <c r="A42" s="13" t="s">
        <v>44</v>
      </c>
      <c r="B42" s="14" t="s">
        <v>45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6" t="s">
        <v>46</v>
      </c>
      <c r="B1" s="6"/>
      <c r="C1" s="6"/>
      <c r="D1" s="6"/>
    </row>
    <row r="3" customFormat="false" ht="15" hidden="false" customHeight="false" outlineLevel="0" collapsed="false">
      <c r="A3" s="16" t="s">
        <v>47</v>
      </c>
      <c r="B3" s="16" t="s">
        <v>48</v>
      </c>
    </row>
    <row r="4" customFormat="false" ht="39.75" hidden="false" customHeight="true" outlineLevel="0" collapsed="false">
      <c r="A4" s="17" t="s">
        <v>49</v>
      </c>
      <c r="B4" s="17" t="s">
        <v>50</v>
      </c>
    </row>
    <row r="5" customFormat="false" ht="39.75" hidden="false" customHeight="true" outlineLevel="0" collapsed="false">
      <c r="A5" s="17" t="s">
        <v>51</v>
      </c>
      <c r="B5" s="17" t="s">
        <v>52</v>
      </c>
    </row>
    <row r="6" customFormat="false" ht="39.75" hidden="false" customHeight="true" outlineLevel="0" collapsed="false">
      <c r="A6" s="17" t="s">
        <v>53</v>
      </c>
      <c r="B6" s="17" t="s">
        <v>54</v>
      </c>
    </row>
    <row r="7" customFormat="false" ht="54.75" hidden="false" customHeight="true" outlineLevel="0" collapsed="false">
      <c r="A7" s="17" t="s">
        <v>55</v>
      </c>
      <c r="B7" s="17" t="s">
        <v>56</v>
      </c>
    </row>
    <row r="8" customFormat="false" ht="54.75" hidden="false" customHeight="true" outlineLevel="0" collapsed="false">
      <c r="A8" s="17" t="s">
        <v>57</v>
      </c>
      <c r="B8" s="17" t="s">
        <v>58</v>
      </c>
    </row>
    <row r="9" customFormat="false" ht="15" hidden="false" customHeight="false" outlineLevel="0" collapsed="false">
      <c r="A9" s="17" t="s">
        <v>59</v>
      </c>
      <c r="B9" s="17" t="s">
        <v>60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5"/>
  </cols>
  <sheetData>
    <row r="1" customFormat="false" ht="19.7" hidden="false" customHeight="false" outlineLevel="0" collapsed="false">
      <c r="A1" s="6" t="s">
        <v>61</v>
      </c>
      <c r="B1" s="6"/>
    </row>
    <row r="3" customFormat="false" ht="34.5" hidden="false" customHeight="true" outlineLevel="0" collapsed="false">
      <c r="A3" s="18" t="s">
        <v>62</v>
      </c>
      <c r="B3" s="17" t="s">
        <v>63</v>
      </c>
    </row>
    <row r="4" customFormat="false" ht="34.5" hidden="false" customHeight="true" outlineLevel="0" collapsed="false">
      <c r="A4" s="18" t="s">
        <v>64</v>
      </c>
      <c r="B4" s="17" t="s">
        <v>65</v>
      </c>
    </row>
    <row r="5" customFormat="false" ht="34.5" hidden="false" customHeight="true" outlineLevel="0" collapsed="false">
      <c r="A5" s="18" t="s">
        <v>66</v>
      </c>
      <c r="B5" s="17" t="s">
        <v>67</v>
      </c>
    </row>
    <row r="6" customFormat="false" ht="34.5" hidden="false" customHeight="true" outlineLevel="0" collapsed="false">
      <c r="A6" s="18" t="s">
        <v>68</v>
      </c>
      <c r="B6" s="17" t="s">
        <v>69</v>
      </c>
    </row>
    <row r="7" customFormat="false" ht="34.5" hidden="false" customHeight="true" outlineLevel="0" collapsed="false">
      <c r="A7" s="18" t="s">
        <v>70</v>
      </c>
      <c r="B7" s="17" t="s">
        <v>71</v>
      </c>
    </row>
    <row r="8" customFormat="false" ht="34.5" hidden="false" customHeight="true" outlineLevel="0" collapsed="false">
      <c r="A8" s="18" t="s">
        <v>72</v>
      </c>
      <c r="B8" s="17" t="s">
        <v>73</v>
      </c>
    </row>
    <row r="9" customFormat="false" ht="34.5" hidden="false" customHeight="true" outlineLevel="0" collapsed="false">
      <c r="A9" s="18" t="s">
        <v>74</v>
      </c>
      <c r="B9" s="17" t="s">
        <v>75</v>
      </c>
    </row>
    <row r="10" customFormat="false" ht="34.5" hidden="false" customHeight="true" outlineLevel="0" collapsed="false">
      <c r="A10" s="18" t="s">
        <v>76</v>
      </c>
      <c r="B10" s="17" t="s">
        <v>77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2026-10-22T10:08:28Z</dcterms:created>
  <dc:creator>openpyxl</dc:creator>
  <dc:description/>
  <dc:language>en-US</dc:language>
  <cp:lastModifiedBy/>
  <dcterms:modified xsi:type="dcterms:W3CDTF">2026-10-22T13:49:16Z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